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inancial 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<sst xmlns="http://schemas.openxmlformats.org/spreadsheetml/2006/main" count="111" uniqueCount="100">
  <si>
    <t xml:space="preserve">ASSUMPTIONS</t>
  </si>
  <si>
    <t xml:space="preserve">Year 1</t>
  </si>
  <si>
    <t xml:space="preserve">Year 2</t>
  </si>
  <si>
    <t xml:space="preserve">Year 3</t>
  </si>
  <si>
    <t xml:space="preserve">Notes</t>
  </si>
  <si>
    <t xml:space="preserve">SHOWS — EXTERNAL (revenue-generating)</t>
  </si>
  <si>
    <t xml:space="preserve">Prophecy — External shows (China)</t>
  </si>
  <si>
    <t xml:space="preserve">Booked by INS in external venues</t>
  </si>
  <si>
    <t xml:space="preserve">Prophecy — Fee per external show</t>
  </si>
  <si>
    <t xml:space="preserve">Paid by external promoter</t>
  </si>
  <si>
    <t xml:space="preserve">Björn — External shows (China)</t>
  </si>
  <si>
    <t xml:space="preserve">Booked by INS</t>
  </si>
  <si>
    <t xml:space="preserve">Björn — Fee per external show</t>
  </si>
  <si>
    <t xml:space="preserve">Grows with catalog</t>
  </si>
  <si>
    <t xml:space="preserve">AIRE — External shows (China)</t>
  </si>
  <si>
    <t xml:space="preserve">AIRE — Fee per external show</t>
  </si>
  <si>
    <t xml:space="preserve">Premium format</t>
  </si>
  <si>
    <t xml:space="preserve">SHOWS — INS VENUES (cost to INS)</t>
  </si>
  <si>
    <t xml:space="preserve">Prophecy — INS venue shows</t>
  </si>
  <si>
    <t xml:space="preserve">Showcase + ghost prod exchange</t>
  </si>
  <si>
    <t xml:space="preserve">Prophecy — Fee per INS show</t>
  </si>
  <si>
    <t xml:space="preserve">Cash paid to Prophecy</t>
  </si>
  <si>
    <t xml:space="preserve">AIRE — INS venue shows</t>
  </si>
  <si>
    <t xml:space="preserve">Immersive format showcase</t>
  </si>
  <si>
    <t xml:space="preserve">AIRE — Fee per INS show</t>
  </si>
  <si>
    <t xml:space="preserve">Cash paid to AIRE</t>
  </si>
  <si>
    <t xml:space="preserve">Björn — INS venue shows</t>
  </si>
  <si>
    <t xml:space="preserve">Own artist — no fee</t>
  </si>
  <si>
    <t xml:space="preserve">INS venue marginal cost per show</t>
  </si>
  <si>
    <t xml:space="preserve">Sound, promo, logistics per show</t>
  </si>
  <si>
    <t xml:space="preserve">GHOST PRODUCTION (A2G delivers)</t>
  </si>
  <si>
    <t xml:space="preserve">Tracks produced for Björn</t>
  </si>
  <si>
    <t xml:space="preserve">By Prophecy</t>
  </si>
  <si>
    <t xml:space="preserve">Market value per track</t>
  </si>
  <si>
    <t xml:space="preserve">€5-15K on open market</t>
  </si>
  <si>
    <t xml:space="preserve">REVENUE SHARE — INS % PER YEAR</t>
  </si>
  <si>
    <t xml:space="preserve">INS share Year 1</t>
  </si>
  <si>
    <t xml:space="preserve">Phase 1: Recovery</t>
  </si>
  <si>
    <t xml:space="preserve">INS share Year 2</t>
  </si>
  <si>
    <t xml:space="preserve">Phase 1 continues or transitions</t>
  </si>
  <si>
    <t xml:space="preserve">INS share Year 3</t>
  </si>
  <si>
    <t xml:space="preserve">Phase 1 continues — breakeven not reached Y2</t>
  </si>
  <si>
    <t xml:space="preserve">Year 4-5 (post-breakeven): 30% for 3yr</t>
  </si>
  <si>
    <t xml:space="preserve">Phase 2 starts after breakeven</t>
  </si>
  <si>
    <t xml:space="preserve">Year 6-10: 10% for 5 years</t>
  </si>
  <si>
    <t xml:space="preserve">Phase 3</t>
  </si>
  <si>
    <t xml:space="preserve">OTHER REVENUE STREAMS</t>
  </si>
  <si>
    <t xml:space="preserve">Streaming — China territory</t>
  </si>
  <si>
    <t xml:space="preserve">QQ Music, NetEase, Douyin</t>
  </si>
  <si>
    <t xml:space="preserve">Sync &amp; gaming</t>
  </si>
  <si>
    <t xml:space="preserve">Hero E-Sports pipeline</t>
  </si>
  <si>
    <t xml:space="preserve">Content licensing — AIRE A/V</t>
  </si>
  <si>
    <t xml:space="preserve">From every activation</t>
  </si>
  <si>
    <t xml:space="preserve">Merchandise</t>
  </si>
  <si>
    <t xml:space="preserve">Scales with audience</t>
  </si>
  <si>
    <t xml:space="preserve">INS OTHER CASH COSTS</t>
  </si>
  <si>
    <t xml:space="preserve">Marketing campaigns</t>
  </si>
  <si>
    <t xml:space="preserve">Douyin, RED, local promo</t>
  </si>
  <si>
    <t xml:space="preserve">AIRE content production</t>
  </si>
  <si>
    <t xml:space="preserve">A/V post-production</t>
  </si>
  <si>
    <t xml:space="preserve">Scouting &amp; artist dev</t>
  </si>
  <si>
    <t xml:space="preserve">Pipeline building</t>
  </si>
  <si>
    <t xml:space="preserve">A2G × INS — 3-YEAR FINANCIAL MODEL</t>
  </si>
  <si>
    <t xml:space="preserve">3-Year Total</t>
  </si>
  <si>
    <t xml:space="preserve">GROSS REVENUE (all artists, China territory)</t>
  </si>
  <si>
    <t xml:space="preserve">Prophecy — External shows</t>
  </si>
  <si>
    <t xml:space="preserve">Björn — External shows</t>
  </si>
  <si>
    <t xml:space="preserve">AIRE — External shows</t>
  </si>
  <si>
    <t xml:space="preserve">TOTAL GROSS REVENUE</t>
  </si>
  <si>
    <t xml:space="preserve">INS REVENUE (Phase 1: 60% all 3 years — breakeven not reached)</t>
  </si>
  <si>
    <t xml:space="preserve">Prophecy shows (Y1: 60% · Y2: 60% · Y3: 60%)</t>
  </si>
  <si>
    <t xml:space="preserve">Björn shows (Y1: 60% · Y2: 60% · Y3: 60%)</t>
  </si>
  <si>
    <t xml:space="preserve">AIRE shows (Y1: 60% · Y2: 60% · Y3: 60%)</t>
  </si>
  <si>
    <t xml:space="preserve">Streaming (Y1: 60% · Y2: 60% · Y3: 60%)</t>
  </si>
  <si>
    <t xml:space="preserve">Sync &amp; gaming (Y1: 60% · Y2: 60% · Y3: 60%)</t>
  </si>
  <si>
    <t xml:space="preserve">Content licensing (Y1: 60% · Y2: 60% · Y3: 60%)</t>
  </si>
  <si>
    <t xml:space="preserve">Merchandise (Y1: 60% · Y2: 60% · Y3: 60%)</t>
  </si>
  <si>
    <t xml:space="preserve">TOTAL INS REVENUE</t>
  </si>
  <si>
    <t xml:space="preserve">INS CASH INVESTMENT (all cash out)</t>
  </si>
  <si>
    <t xml:space="preserve">Prophecy — INS venue show fees</t>
  </si>
  <si>
    <t xml:space="preserve">AIRE — INS venue show fees</t>
  </si>
  <si>
    <t xml:space="preserve">INS venue costs (all shows)</t>
  </si>
  <si>
    <t xml:space="preserve">TOTAL INS CASH INVESTMENT</t>
  </si>
  <si>
    <t xml:space="preserve">VALUE RECEIVED BY INS (no cash)</t>
  </si>
  <si>
    <t xml:space="preserve">Ghost production (tracks × market value)</t>
  </si>
  <si>
    <t xml:space="preserve">SUMMARY</t>
  </si>
  <si>
    <t xml:space="preserve">INS Cash Out (annual)</t>
  </si>
  <si>
    <t xml:space="preserve">INS Revenue (annual)</t>
  </si>
  <si>
    <t xml:space="preserve">Net Cash Flow (annual)</t>
  </si>
  <si>
    <t xml:space="preserve">INS Cash Out (cumulative)</t>
  </si>
  <si>
    <t xml:space="preserve">INS Revenue (cumulative)</t>
  </si>
  <si>
    <t xml:space="preserve">Net Cumulative</t>
  </si>
  <si>
    <t xml:space="preserve">% Investment Recovered</t>
  </si>
  <si>
    <t xml:space="preserve">+ Value trade received (ghost production)</t>
  </si>
  <si>
    <t xml:space="preserve">Total value returned (revenue + production)</t>
  </si>
  <si>
    <t xml:space="preserve">NOT INCLUDED IN THIS MODEL (additional INS upside):</t>
  </si>
  <si>
    <t xml:space="preserve">· INS venue revenue from shows (door, bar, VIP) — this is INS's own P&amp;L, not part of the deal</t>
  </si>
  <si>
    <t xml:space="preserve">· Each INS venue show generates venue revenue that offsets or exceeds the artist show fee</t>
  </si>
  <si>
    <t xml:space="preserve">· With 7 INS venue shows/year, the venue P&amp;L alone likely covers the artist fee investment</t>
  </si>
  <si>
    <t xml:space="preserve">→ Adjust share % in Assumptions rows 23-25 based on when breakeven occurs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</si>
</sst>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€#,##0"/>
    <numFmt numFmtId="166" formatCode="0.0%"/>
    <numFmt numFmtId="167" formatCode="\€#,##0;&quot;(€&quot;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10"/>
      <color rgb="FF00800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E2EFDA"/>
      </patternFill>
    </fill>
    <fill>
      <patternFill patternType="solid">
        <fgColor rgb="FFFDE9D9"/>
        <bgColor rgb="FFE2EFDA"/>
      </patternFill>
    </fill>
    <fill>
      <patternFill patternType="solid">
        <fgColor rgb="FFE2EFDA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DE9D9"/>
      <rgbColor rgb="FFE2EFDA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5" min="2" style="1" width="16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true" outlineLevel="0" collapsed="false">
      <c r="A2" s="3" t="s">
        <v>5</v>
      </c>
      <c r="B2" s="4"/>
      <c r="C2" s="4"/>
      <c r="D2" s="4"/>
      <c r="E2" s="4"/>
    </row>
    <row r="3" customFormat="false" ht="15" hidden="false" customHeight="true" outlineLevel="0" collapsed="false">
      <c r="A3" s="5" t="s">
        <v>6</v>
      </c>
      <c r="B3" s="6" t="n">
        <v>2</v>
      </c>
      <c r="C3" s="6" t="n">
        <v>8</v>
      </c>
      <c r="D3" s="6" t="n">
        <v>13</v>
      </c>
      <c r="E3" s="7" t="s">
        <v>7</v>
      </c>
    </row>
    <row r="4" customFormat="false" ht="15" hidden="false" customHeight="true" outlineLevel="0" collapsed="false">
      <c r="A4" s="5" t="s">
        <v>8</v>
      </c>
      <c r="B4" s="8" t="n">
        <v>4500</v>
      </c>
      <c r="C4" s="8" t="n">
        <v>5500</v>
      </c>
      <c r="D4" s="8" t="n">
        <v>7000</v>
      </c>
      <c r="E4" s="7" t="s">
        <v>9</v>
      </c>
    </row>
    <row r="5" customFormat="false" ht="15" hidden="false" customHeight="true" outlineLevel="0" collapsed="false">
      <c r="A5" s="5" t="s">
        <v>10</v>
      </c>
      <c r="B5" s="6" t="n">
        <v>1</v>
      </c>
      <c r="C5" s="6" t="n">
        <v>7</v>
      </c>
      <c r="D5" s="6" t="n">
        <v>13</v>
      </c>
      <c r="E5" s="7" t="s">
        <v>11</v>
      </c>
    </row>
    <row r="6" customFormat="false" ht="15" hidden="false" customHeight="true" outlineLevel="0" collapsed="false">
      <c r="A6" s="5" t="s">
        <v>12</v>
      </c>
      <c r="B6" s="8" t="n">
        <v>1500</v>
      </c>
      <c r="C6" s="8" t="n">
        <v>2500</v>
      </c>
      <c r="D6" s="8" t="n">
        <v>4000</v>
      </c>
      <c r="E6" s="7" t="s">
        <v>13</v>
      </c>
    </row>
    <row r="7" customFormat="false" ht="15" hidden="false" customHeight="true" outlineLevel="0" collapsed="false">
      <c r="A7" s="5" t="s">
        <v>14</v>
      </c>
      <c r="B7" s="6" t="n">
        <v>1</v>
      </c>
      <c r="C7" s="6" t="n">
        <v>4</v>
      </c>
      <c r="D7" s="6" t="n">
        <v>6</v>
      </c>
      <c r="E7" s="7" t="s">
        <v>11</v>
      </c>
    </row>
    <row r="8" customFormat="false" ht="15" hidden="false" customHeight="true" outlineLevel="0" collapsed="false">
      <c r="A8" s="5" t="s">
        <v>15</v>
      </c>
      <c r="B8" s="8" t="n">
        <v>3500</v>
      </c>
      <c r="C8" s="8" t="n">
        <v>4500</v>
      </c>
      <c r="D8" s="8" t="n">
        <v>6000</v>
      </c>
      <c r="E8" s="7" t="s">
        <v>16</v>
      </c>
    </row>
    <row r="10" customFormat="false" ht="15" hidden="false" customHeight="true" outlineLevel="0" collapsed="false">
      <c r="A10" s="3" t="s">
        <v>17</v>
      </c>
      <c r="B10" s="4"/>
      <c r="C10" s="4"/>
      <c r="D10" s="4"/>
      <c r="E10" s="4"/>
    </row>
    <row r="11" customFormat="false" ht="15" hidden="false" customHeight="true" outlineLevel="0" collapsed="false">
      <c r="A11" s="5" t="s">
        <v>18</v>
      </c>
      <c r="B11" s="6" t="n">
        <v>2</v>
      </c>
      <c r="C11" s="6" t="n">
        <v>2</v>
      </c>
      <c r="D11" s="6" t="n">
        <v>2</v>
      </c>
      <c r="E11" s="7" t="s">
        <v>19</v>
      </c>
    </row>
    <row r="12" customFormat="false" ht="15" hidden="false" customHeight="true" outlineLevel="0" collapsed="false">
      <c r="A12" s="5" t="s">
        <v>20</v>
      </c>
      <c r="B12" s="9" t="n">
        <v>4000</v>
      </c>
      <c r="C12" s="9" t="n">
        <v>4500</v>
      </c>
      <c r="D12" s="9" t="n">
        <v>5000</v>
      </c>
      <c r="E12" s="7" t="s">
        <v>21</v>
      </c>
    </row>
    <row r="13" customFormat="false" ht="15" hidden="false" customHeight="true" outlineLevel="0" collapsed="false">
      <c r="A13" s="5" t="s">
        <v>22</v>
      </c>
      <c r="B13" s="6" t="n">
        <v>2</v>
      </c>
      <c r="C13" s="6" t="n">
        <v>2</v>
      </c>
      <c r="D13" s="6" t="n">
        <v>2</v>
      </c>
      <c r="E13" s="7" t="s">
        <v>23</v>
      </c>
    </row>
    <row r="14" customFormat="false" ht="15" hidden="false" customHeight="true" outlineLevel="0" collapsed="false">
      <c r="A14" s="5" t="s">
        <v>24</v>
      </c>
      <c r="B14" s="9" t="n">
        <v>3500</v>
      </c>
      <c r="C14" s="9" t="n">
        <v>4000</v>
      </c>
      <c r="D14" s="9" t="n">
        <v>5000</v>
      </c>
      <c r="E14" s="7" t="s">
        <v>25</v>
      </c>
    </row>
    <row r="15" customFormat="false" ht="15" hidden="false" customHeight="true" outlineLevel="0" collapsed="false">
      <c r="A15" s="5" t="s">
        <v>26</v>
      </c>
      <c r="B15" s="6" t="n">
        <v>3</v>
      </c>
      <c r="C15" s="6" t="n">
        <v>3</v>
      </c>
      <c r="D15" s="6" t="n">
        <v>2</v>
      </c>
      <c r="E15" s="7" t="s">
        <v>27</v>
      </c>
    </row>
    <row r="16" customFormat="false" ht="15" hidden="false" customHeight="true" outlineLevel="0" collapsed="false">
      <c r="A16" s="5" t="s">
        <v>28</v>
      </c>
      <c r="B16" s="8" t="n">
        <v>500</v>
      </c>
      <c r="C16" s="8" t="n">
        <v>500</v>
      </c>
      <c r="D16" s="8" t="n">
        <v>500</v>
      </c>
      <c r="E16" s="7" t="s">
        <v>29</v>
      </c>
    </row>
    <row r="18" customFormat="false" ht="15" hidden="false" customHeight="true" outlineLevel="0" collapsed="false">
      <c r="A18" s="3" t="s">
        <v>30</v>
      </c>
      <c r="B18" s="4"/>
      <c r="C18" s="4"/>
      <c r="D18" s="4"/>
      <c r="E18" s="4"/>
    </row>
    <row r="19" customFormat="false" ht="15" hidden="false" customHeight="true" outlineLevel="0" collapsed="false">
      <c r="A19" s="5" t="s">
        <v>31</v>
      </c>
      <c r="B19" s="6" t="n">
        <v>4</v>
      </c>
      <c r="C19" s="6" t="n">
        <v>6</v>
      </c>
      <c r="D19" s="6" t="n">
        <v>8</v>
      </c>
      <c r="E19" s="7" t="s">
        <v>32</v>
      </c>
    </row>
    <row r="20" customFormat="false" ht="15" hidden="false" customHeight="true" outlineLevel="0" collapsed="false">
      <c r="A20" s="5" t="s">
        <v>33</v>
      </c>
      <c r="B20" s="8" t="n">
        <v>3500</v>
      </c>
      <c r="C20" s="8" t="n">
        <v>3500</v>
      </c>
      <c r="D20" s="8" t="n">
        <v>3500</v>
      </c>
      <c r="E20" s="7" t="s">
        <v>34</v>
      </c>
    </row>
    <row r="22" customFormat="false" ht="15" hidden="false" customHeight="true" outlineLevel="0" collapsed="false">
      <c r="A22" s="3" t="s">
        <v>35</v>
      </c>
      <c r="B22" s="4"/>
      <c r="C22" s="4"/>
      <c r="D22" s="4"/>
      <c r="E22" s="4"/>
    </row>
    <row r="23" customFormat="false" ht="15" hidden="false" customHeight="true" outlineLevel="0" collapsed="false">
      <c r="A23" s="5" t="s">
        <v>36</v>
      </c>
      <c r="B23" s="10" t="n">
        <v>0.6</v>
      </c>
      <c r="C23" s="10"/>
      <c r="D23" s="10"/>
      <c r="E23" s="7" t="s">
        <v>37</v>
      </c>
    </row>
    <row r="24" customFormat="false" ht="15" hidden="false" customHeight="true" outlineLevel="0" collapsed="false">
      <c r="A24" s="5" t="s">
        <v>38</v>
      </c>
      <c r="B24" s="10" t="n">
        <v>0.6</v>
      </c>
      <c r="C24" s="10"/>
      <c r="D24" s="10"/>
      <c r="E24" s="7" t="s">
        <v>39</v>
      </c>
    </row>
    <row r="25" customFormat="false" ht="15" hidden="false" customHeight="true" outlineLevel="0" collapsed="false">
      <c r="A25" s="5" t="s">
        <v>40</v>
      </c>
      <c r="B25" s="10" t="n">
        <v>0.6</v>
      </c>
      <c r="C25" s="10"/>
      <c r="D25" s="10"/>
      <c r="E25" s="7" t="s">
        <v>41</v>
      </c>
    </row>
    <row r="26" customFormat="false" ht="15" hidden="false" customHeight="true" outlineLevel="0" collapsed="false">
      <c r="A26" s="5" t="s">
        <v>42</v>
      </c>
      <c r="B26" s="6"/>
      <c r="C26" s="6"/>
      <c r="D26" s="6"/>
      <c r="E26" s="7" t="s">
        <v>43</v>
      </c>
    </row>
    <row r="27" customFormat="false" ht="15" hidden="false" customHeight="true" outlineLevel="0" collapsed="false">
      <c r="A27" s="1" t="s">
        <v>44</v>
      </c>
      <c r="E27" s="1" t="s">
        <v>45</v>
      </c>
    </row>
    <row r="28" customFormat="false" ht="15" hidden="false" customHeight="true" outlineLevel="0" collapsed="false">
      <c r="A28" s="3" t="s">
        <v>46</v>
      </c>
      <c r="B28" s="4"/>
      <c r="C28" s="4"/>
      <c r="D28" s="4"/>
      <c r="E28" s="4"/>
    </row>
    <row r="29" customFormat="false" ht="15" hidden="false" customHeight="true" outlineLevel="0" collapsed="false">
      <c r="A29" s="5" t="s">
        <v>47</v>
      </c>
      <c r="B29" s="8" t="n">
        <v>5000</v>
      </c>
      <c r="C29" s="8" t="n">
        <v>15000</v>
      </c>
      <c r="D29" s="8" t="n">
        <v>40000</v>
      </c>
      <c r="E29" s="7" t="s">
        <v>48</v>
      </c>
    </row>
    <row r="30" customFormat="false" ht="15" hidden="false" customHeight="true" outlineLevel="0" collapsed="false">
      <c r="A30" s="5" t="s">
        <v>49</v>
      </c>
      <c r="B30" s="8" t="n">
        <v>5000</v>
      </c>
      <c r="C30" s="8" t="n">
        <v>12000</v>
      </c>
      <c r="D30" s="8" t="n">
        <v>25000</v>
      </c>
      <c r="E30" s="7" t="s">
        <v>50</v>
      </c>
    </row>
    <row r="31" customFormat="false" ht="15" hidden="false" customHeight="true" outlineLevel="0" collapsed="false">
      <c r="A31" s="5" t="s">
        <v>51</v>
      </c>
      <c r="B31" s="8" t="n">
        <v>3000</v>
      </c>
      <c r="C31" s="8" t="n">
        <v>8000</v>
      </c>
      <c r="D31" s="8" t="n">
        <v>15000</v>
      </c>
      <c r="E31" s="7" t="s">
        <v>52</v>
      </c>
    </row>
    <row r="32" customFormat="false" ht="15" hidden="false" customHeight="true" outlineLevel="0" collapsed="false">
      <c r="A32" s="5" t="s">
        <v>53</v>
      </c>
      <c r="B32" s="8" t="n">
        <v>0</v>
      </c>
      <c r="C32" s="8" t="n">
        <v>3000</v>
      </c>
      <c r="D32" s="8" t="n">
        <v>5000</v>
      </c>
      <c r="E32" s="7" t="s">
        <v>54</v>
      </c>
    </row>
    <row r="34" customFormat="false" ht="15" hidden="false" customHeight="true" outlineLevel="0" collapsed="false">
      <c r="A34" s="3" t="s">
        <v>55</v>
      </c>
      <c r="B34" s="4"/>
      <c r="C34" s="4"/>
      <c r="D34" s="4"/>
      <c r="E34" s="4"/>
    </row>
    <row r="35" customFormat="false" ht="15" hidden="false" customHeight="true" outlineLevel="0" collapsed="false">
      <c r="A35" s="5" t="s">
        <v>56</v>
      </c>
      <c r="B35" s="9" t="n">
        <v>13000</v>
      </c>
      <c r="C35" s="9" t="n">
        <v>25000</v>
      </c>
      <c r="D35" s="9" t="n">
        <v>40000</v>
      </c>
      <c r="E35" s="7" t="s">
        <v>57</v>
      </c>
    </row>
    <row r="36" customFormat="false" ht="15" hidden="false" customHeight="true" outlineLevel="0" collapsed="false">
      <c r="A36" s="5" t="s">
        <v>58</v>
      </c>
      <c r="B36" s="9" t="n">
        <v>6000</v>
      </c>
      <c r="C36" s="9" t="n">
        <v>8000</v>
      </c>
      <c r="D36" s="9" t="n">
        <v>10000</v>
      </c>
      <c r="E36" s="7" t="s">
        <v>59</v>
      </c>
    </row>
    <row r="37" customFormat="false" ht="15" hidden="false" customHeight="true" outlineLevel="0" collapsed="false">
      <c r="A37" s="5" t="s">
        <v>60</v>
      </c>
      <c r="B37" s="9" t="n">
        <v>5000</v>
      </c>
      <c r="C37" s="9" t="n">
        <v>8000</v>
      </c>
      <c r="D37" s="9" t="n">
        <v>10000</v>
      </c>
      <c r="E37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5" min="2" style="1" width="16"/>
  </cols>
  <sheetData>
    <row r="1" customFormat="false" ht="15" hidden="false" customHeight="true" outlineLevel="0" collapsed="false">
      <c r="A1" s="2" t="s">
        <v>62</v>
      </c>
      <c r="B1" s="2" t="s">
        <v>1</v>
      </c>
      <c r="C1" s="2" t="s">
        <v>2</v>
      </c>
      <c r="D1" s="2" t="s">
        <v>3</v>
      </c>
      <c r="E1" s="2" t="s">
        <v>63</v>
      </c>
    </row>
    <row r="2" customFormat="false" ht="15" hidden="false" customHeight="true" outlineLevel="0" collapsed="false">
      <c r="A2" s="3" t="s">
        <v>64</v>
      </c>
      <c r="B2" s="4"/>
      <c r="C2" s="4"/>
      <c r="D2" s="4"/>
      <c r="E2" s="4"/>
    </row>
    <row r="3" customFormat="false" ht="15" hidden="false" customHeight="true" outlineLevel="0" collapsed="false">
      <c r="A3" s="5" t="s">
        <v>65</v>
      </c>
      <c r="B3" s="11" t="n">
        <f aca="false">Assumptions!B3*Assumptions!B4</f>
        <v>9000</v>
      </c>
      <c r="C3" s="11" t="n">
        <f aca="false">Assumptions!C3*Assumptions!C4</f>
        <v>44000</v>
      </c>
      <c r="D3" s="11" t="n">
        <f aca="false">Assumptions!D3*Assumptions!D4</f>
        <v>91000</v>
      </c>
      <c r="E3" s="12" t="n">
        <f aca="false">SUM(B3:D3)</f>
        <v>144000</v>
      </c>
    </row>
    <row r="4" customFormat="false" ht="15" hidden="false" customHeight="true" outlineLevel="0" collapsed="false">
      <c r="A4" s="5" t="s">
        <v>66</v>
      </c>
      <c r="B4" s="11" t="n">
        <f aca="false">Assumptions!B5*Assumptions!B6</f>
        <v>1500</v>
      </c>
      <c r="C4" s="11" t="n">
        <f aca="false">Assumptions!C5*Assumptions!C6</f>
        <v>17500</v>
      </c>
      <c r="D4" s="11" t="n">
        <f aca="false">Assumptions!D5*Assumptions!D6</f>
        <v>52000</v>
      </c>
      <c r="E4" s="12" t="n">
        <f aca="false">SUM(B4:D4)</f>
        <v>71000</v>
      </c>
    </row>
    <row r="5" customFormat="false" ht="15" hidden="false" customHeight="true" outlineLevel="0" collapsed="false">
      <c r="A5" s="5" t="s">
        <v>67</v>
      </c>
      <c r="B5" s="11" t="n">
        <f aca="false">Assumptions!B7*Assumptions!B8</f>
        <v>3500</v>
      </c>
      <c r="C5" s="11" t="n">
        <f aca="false">Assumptions!C7*Assumptions!C8</f>
        <v>18000</v>
      </c>
      <c r="D5" s="11" t="n">
        <f aca="false">Assumptions!D7*Assumptions!D8</f>
        <v>36000</v>
      </c>
      <c r="E5" s="12" t="n">
        <f aca="false">SUM(B5:D5)</f>
        <v>57500</v>
      </c>
    </row>
    <row r="6" customFormat="false" ht="15" hidden="false" customHeight="true" outlineLevel="0" collapsed="false">
      <c r="A6" s="5" t="s">
        <v>47</v>
      </c>
      <c r="B6" s="11" t="n">
        <f aca="false">Assumptions!B29</f>
        <v>5000</v>
      </c>
      <c r="C6" s="11" t="n">
        <f aca="false">Assumptions!C29</f>
        <v>15000</v>
      </c>
      <c r="D6" s="11" t="n">
        <f aca="false">Assumptions!D29</f>
        <v>40000</v>
      </c>
      <c r="E6" s="12" t="n">
        <f aca="false">SUM(B6:D6)</f>
        <v>60000</v>
      </c>
    </row>
    <row r="7" customFormat="false" ht="15" hidden="false" customHeight="true" outlineLevel="0" collapsed="false">
      <c r="A7" s="5" t="s">
        <v>49</v>
      </c>
      <c r="B7" s="11" t="n">
        <f aca="false">Assumptions!B30</f>
        <v>5000</v>
      </c>
      <c r="C7" s="11" t="n">
        <f aca="false">Assumptions!C30</f>
        <v>12000</v>
      </c>
      <c r="D7" s="11" t="n">
        <f aca="false">Assumptions!D30</f>
        <v>25000</v>
      </c>
      <c r="E7" s="12" t="n">
        <f aca="false">SUM(B7:D7)</f>
        <v>42000</v>
      </c>
    </row>
    <row r="8" customFormat="false" ht="15" hidden="false" customHeight="true" outlineLevel="0" collapsed="false">
      <c r="A8" s="5" t="s">
        <v>51</v>
      </c>
      <c r="B8" s="11" t="n">
        <f aca="false">Assumptions!B31</f>
        <v>3000</v>
      </c>
      <c r="C8" s="11" t="n">
        <f aca="false">Assumptions!C31</f>
        <v>8000</v>
      </c>
      <c r="D8" s="11" t="n">
        <f aca="false">Assumptions!D31</f>
        <v>15000</v>
      </c>
      <c r="E8" s="12" t="n">
        <f aca="false">SUM(B8:D8)</f>
        <v>26000</v>
      </c>
    </row>
    <row r="9" customFormat="false" ht="15" hidden="false" customHeight="true" outlineLevel="0" collapsed="false">
      <c r="A9" s="5" t="s">
        <v>53</v>
      </c>
      <c r="B9" s="11" t="n">
        <f aca="false">Assumptions!B32</f>
        <v>0</v>
      </c>
      <c r="C9" s="11" t="n">
        <f aca="false">Assumptions!C32</f>
        <v>3000</v>
      </c>
      <c r="D9" s="11" t="n">
        <f aca="false">Assumptions!D32</f>
        <v>5000</v>
      </c>
      <c r="E9" s="12" t="n">
        <f aca="false">SUM(B9:D9)</f>
        <v>8000</v>
      </c>
    </row>
    <row r="10" customFormat="false" ht="15" hidden="false" customHeight="true" outlineLevel="0" collapsed="false">
      <c r="A10" s="13" t="s">
        <v>68</v>
      </c>
      <c r="B10" s="14" t="n">
        <f aca="false">SUM(B3:B9)</f>
        <v>27000</v>
      </c>
      <c r="C10" s="14" t="n">
        <f aca="false">SUM(C3:C9)</f>
        <v>117500</v>
      </c>
      <c r="D10" s="14" t="n">
        <f aca="false">SUM(D3:D9)</f>
        <v>264000</v>
      </c>
      <c r="E10" s="14" t="n">
        <f aca="false">SUM(B10:D10)</f>
        <v>408500</v>
      </c>
    </row>
    <row r="12" customFormat="false" ht="15" hidden="false" customHeight="true" outlineLevel="0" collapsed="false">
      <c r="A12" s="15" t="s">
        <v>69</v>
      </c>
      <c r="B12" s="16"/>
      <c r="C12" s="16"/>
      <c r="D12" s="16"/>
      <c r="E12" s="16"/>
    </row>
    <row r="13" customFormat="false" ht="15" hidden="false" customHeight="true" outlineLevel="0" collapsed="false">
      <c r="A13" s="17" t="s">
        <v>70</v>
      </c>
      <c r="B13" s="11" t="n">
        <f aca="false">B3*Assumptions!B23</f>
        <v>5400</v>
      </c>
      <c r="C13" s="11" t="n">
        <f aca="false">C3*Assumptions!B24</f>
        <v>26400</v>
      </c>
      <c r="D13" s="11" t="n">
        <f aca="false">D3*Assumptions!B25</f>
        <v>54600</v>
      </c>
      <c r="E13" s="12" t="n">
        <f aca="false">SUM(B13:D13)</f>
        <v>86400</v>
      </c>
    </row>
    <row r="14" customFormat="false" ht="15" hidden="false" customHeight="true" outlineLevel="0" collapsed="false">
      <c r="A14" s="17" t="s">
        <v>71</v>
      </c>
      <c r="B14" s="11" t="n">
        <f aca="false">B4*Assumptions!B23</f>
        <v>900</v>
      </c>
      <c r="C14" s="11" t="n">
        <f aca="false">C4*Assumptions!B24</f>
        <v>10500</v>
      </c>
      <c r="D14" s="11" t="n">
        <f aca="false">D4*Assumptions!B25</f>
        <v>31200</v>
      </c>
      <c r="E14" s="12" t="n">
        <f aca="false">SUM(B14:D14)</f>
        <v>42600</v>
      </c>
    </row>
    <row r="15" customFormat="false" ht="15" hidden="false" customHeight="true" outlineLevel="0" collapsed="false">
      <c r="A15" s="17" t="s">
        <v>72</v>
      </c>
      <c r="B15" s="11" t="n">
        <f aca="false">B5*Assumptions!B23</f>
        <v>2100</v>
      </c>
      <c r="C15" s="11" t="n">
        <f aca="false">C5*Assumptions!B24</f>
        <v>10800</v>
      </c>
      <c r="D15" s="11" t="n">
        <f aca="false">D5*Assumptions!B25</f>
        <v>21600</v>
      </c>
      <c r="E15" s="12" t="n">
        <f aca="false">SUM(B15:D15)</f>
        <v>34500</v>
      </c>
    </row>
    <row r="16" customFormat="false" ht="15" hidden="false" customHeight="true" outlineLevel="0" collapsed="false">
      <c r="A16" s="17" t="s">
        <v>73</v>
      </c>
      <c r="B16" s="11" t="n">
        <f aca="false">B6*Assumptions!B23</f>
        <v>3000</v>
      </c>
      <c r="C16" s="11" t="n">
        <f aca="false">C6*Assumptions!B24</f>
        <v>9000</v>
      </c>
      <c r="D16" s="11" t="n">
        <f aca="false">D6*Assumptions!B25</f>
        <v>24000</v>
      </c>
      <c r="E16" s="12" t="n">
        <f aca="false">SUM(B16:D16)</f>
        <v>36000</v>
      </c>
    </row>
    <row r="17" customFormat="false" ht="15" hidden="false" customHeight="true" outlineLevel="0" collapsed="false">
      <c r="A17" s="17" t="s">
        <v>74</v>
      </c>
      <c r="B17" s="11" t="n">
        <f aca="false">B7*Assumptions!B23</f>
        <v>3000</v>
      </c>
      <c r="C17" s="11" t="n">
        <f aca="false">C7*Assumptions!B24</f>
        <v>7200</v>
      </c>
      <c r="D17" s="11" t="n">
        <f aca="false">D7*Assumptions!B25</f>
        <v>15000</v>
      </c>
      <c r="E17" s="12" t="n">
        <f aca="false">SUM(B17:D17)</f>
        <v>25200</v>
      </c>
    </row>
    <row r="18" customFormat="false" ht="15" hidden="false" customHeight="true" outlineLevel="0" collapsed="false">
      <c r="A18" s="17" t="s">
        <v>75</v>
      </c>
      <c r="B18" s="11" t="n">
        <f aca="false">B8*Assumptions!B23</f>
        <v>1800</v>
      </c>
      <c r="C18" s="11" t="n">
        <f aca="false">C8*Assumptions!B24</f>
        <v>4800</v>
      </c>
      <c r="D18" s="11" t="n">
        <f aca="false">D8*Assumptions!B25</f>
        <v>9000</v>
      </c>
      <c r="E18" s="12" t="n">
        <f aca="false">SUM(B18:D18)</f>
        <v>15600</v>
      </c>
    </row>
    <row r="19" customFormat="false" ht="15" hidden="false" customHeight="true" outlineLevel="0" collapsed="false">
      <c r="A19" s="17" t="s">
        <v>76</v>
      </c>
      <c r="B19" s="11" t="n">
        <f aca="false">B9*Assumptions!B23</f>
        <v>0</v>
      </c>
      <c r="C19" s="11" t="n">
        <f aca="false">C9*Assumptions!B24</f>
        <v>1800</v>
      </c>
      <c r="D19" s="11" t="n">
        <f aca="false">D9*Assumptions!B25</f>
        <v>3000</v>
      </c>
      <c r="E19" s="12" t="n">
        <f aca="false">SUM(B19:D19)</f>
        <v>4800</v>
      </c>
    </row>
    <row r="20" customFormat="false" ht="15" hidden="false" customHeight="true" outlineLevel="0" collapsed="false">
      <c r="A20" s="18" t="s">
        <v>77</v>
      </c>
      <c r="B20" s="19" t="n">
        <f aca="false">SUM(B13:B19)</f>
        <v>16200</v>
      </c>
      <c r="C20" s="19" t="n">
        <f aca="false">SUM(C13:C19)</f>
        <v>70500</v>
      </c>
      <c r="D20" s="19" t="n">
        <f aca="false">SUM(D13:D19)</f>
        <v>158400</v>
      </c>
      <c r="E20" s="19" t="n">
        <f aca="false">SUM(B20:D20)</f>
        <v>245100</v>
      </c>
    </row>
    <row r="22" customFormat="false" ht="15" hidden="false" customHeight="true" outlineLevel="0" collapsed="false">
      <c r="A22" s="20" t="s">
        <v>78</v>
      </c>
      <c r="B22" s="21"/>
      <c r="C22" s="21"/>
      <c r="D22" s="21"/>
      <c r="E22" s="21"/>
    </row>
    <row r="23" customFormat="false" ht="15" hidden="false" customHeight="true" outlineLevel="0" collapsed="false">
      <c r="A23" s="5" t="s">
        <v>79</v>
      </c>
      <c r="B23" s="11" t="n">
        <f aca="false">Assumptions!B11*Assumptions!B12</f>
        <v>8000</v>
      </c>
      <c r="C23" s="11" t="n">
        <f aca="false">Assumptions!C11*Assumptions!C12</f>
        <v>9000</v>
      </c>
      <c r="D23" s="11" t="n">
        <f aca="false">Assumptions!D11*Assumptions!D12</f>
        <v>10000</v>
      </c>
      <c r="E23" s="12" t="n">
        <f aca="false">SUM(B23:D23)</f>
        <v>27000</v>
      </c>
    </row>
    <row r="24" customFormat="false" ht="15" hidden="false" customHeight="true" outlineLevel="0" collapsed="false">
      <c r="A24" s="5" t="s">
        <v>80</v>
      </c>
      <c r="B24" s="11" t="n">
        <f aca="false">Assumptions!B13*Assumptions!B14</f>
        <v>7000</v>
      </c>
      <c r="C24" s="11" t="n">
        <f aca="false">Assumptions!C13*Assumptions!C14</f>
        <v>8000</v>
      </c>
      <c r="D24" s="11" t="n">
        <f aca="false">Assumptions!D13*Assumptions!D14</f>
        <v>10000</v>
      </c>
      <c r="E24" s="12" t="n">
        <f aca="false">SUM(B24:D24)</f>
        <v>25000</v>
      </c>
    </row>
    <row r="25" customFormat="false" ht="15" hidden="false" customHeight="true" outlineLevel="0" collapsed="false">
      <c r="A25" s="5" t="s">
        <v>81</v>
      </c>
      <c r="B25" s="11" t="n">
        <f aca="false">(Assumptions!B11+Assumptions!B13+Assumptions!B15)*Assumptions!B16</f>
        <v>3500</v>
      </c>
      <c r="C25" s="11" t="n">
        <f aca="false">(Assumptions!C11+Assumptions!C13+Assumptions!C15)*Assumptions!C16</f>
        <v>3500</v>
      </c>
      <c r="D25" s="11" t="n">
        <f aca="false">(Assumptions!D11+Assumptions!D13+Assumptions!D15)*Assumptions!D16</f>
        <v>3000</v>
      </c>
      <c r="E25" s="12" t="n">
        <f aca="false">SUM(B25:D25)</f>
        <v>10000</v>
      </c>
    </row>
    <row r="26" customFormat="false" ht="15" hidden="false" customHeight="true" outlineLevel="0" collapsed="false">
      <c r="A26" s="5" t="s">
        <v>56</v>
      </c>
      <c r="B26" s="11" t="n">
        <f aca="false">Assumptions!B35</f>
        <v>13000</v>
      </c>
      <c r="C26" s="11" t="n">
        <f aca="false">Assumptions!C35</f>
        <v>25000</v>
      </c>
      <c r="D26" s="11" t="n">
        <f aca="false">Assumptions!D35</f>
        <v>40000</v>
      </c>
      <c r="E26" s="12" t="n">
        <f aca="false">SUM(B26:D26)</f>
        <v>78000</v>
      </c>
    </row>
    <row r="27" customFormat="false" ht="15" hidden="false" customHeight="true" outlineLevel="0" collapsed="false">
      <c r="A27" s="5" t="s">
        <v>58</v>
      </c>
      <c r="B27" s="11" t="n">
        <f aca="false">Assumptions!B36</f>
        <v>6000</v>
      </c>
      <c r="C27" s="11" t="n">
        <f aca="false">Assumptions!C36</f>
        <v>8000</v>
      </c>
      <c r="D27" s="11" t="n">
        <f aca="false">Assumptions!D36</f>
        <v>10000</v>
      </c>
      <c r="E27" s="12" t="n">
        <f aca="false">SUM(B27:D27)</f>
        <v>24000</v>
      </c>
    </row>
    <row r="28" customFormat="false" ht="15" hidden="false" customHeight="true" outlineLevel="0" collapsed="false">
      <c r="A28" s="5" t="s">
        <v>60</v>
      </c>
      <c r="B28" s="11" t="n">
        <f aca="false">Assumptions!B37</f>
        <v>5000</v>
      </c>
      <c r="C28" s="11" t="n">
        <f aca="false">Assumptions!C37</f>
        <v>8000</v>
      </c>
      <c r="D28" s="11" t="n">
        <f aca="false">Assumptions!D37</f>
        <v>10000</v>
      </c>
      <c r="E28" s="12" t="n">
        <f aca="false">SUM(B28:D28)</f>
        <v>23000</v>
      </c>
    </row>
    <row r="29" customFormat="false" ht="15" hidden="false" customHeight="true" outlineLevel="0" collapsed="false">
      <c r="A29" s="22" t="s">
        <v>82</v>
      </c>
      <c r="B29" s="23" t="n">
        <f aca="false">SUM(B23:B28)</f>
        <v>42500</v>
      </c>
      <c r="C29" s="23" t="n">
        <f aca="false">SUM(C23:C28)</f>
        <v>61500</v>
      </c>
      <c r="D29" s="23" t="n">
        <f aca="false">SUM(D23:D28)</f>
        <v>83000</v>
      </c>
      <c r="E29" s="23" t="n">
        <f aca="false">SUM(B29:D29)</f>
        <v>187000</v>
      </c>
    </row>
    <row r="31" customFormat="false" ht="15" hidden="false" customHeight="true" outlineLevel="0" collapsed="false">
      <c r="A31" s="24" t="s">
        <v>83</v>
      </c>
      <c r="B31" s="25"/>
      <c r="C31" s="25"/>
      <c r="D31" s="25"/>
      <c r="E31" s="25"/>
    </row>
    <row r="32" customFormat="false" ht="15" hidden="false" customHeight="true" outlineLevel="0" collapsed="false">
      <c r="A32" s="5" t="s">
        <v>84</v>
      </c>
      <c r="B32" s="11" t="n">
        <f aca="false">Assumptions!B19*Assumptions!B20</f>
        <v>14000</v>
      </c>
      <c r="C32" s="11" t="n">
        <f aca="false">Assumptions!C19*Assumptions!C20</f>
        <v>21000</v>
      </c>
      <c r="D32" s="11" t="n">
        <f aca="false">Assumptions!D19*Assumptions!D20</f>
        <v>28000</v>
      </c>
      <c r="E32" s="12" t="n">
        <f aca="false">SUM(B32:D32)</f>
        <v>63000</v>
      </c>
    </row>
    <row r="34" customFormat="false" ht="15" hidden="false" customHeight="true" outlineLevel="0" collapsed="false">
      <c r="A34" s="2" t="s">
        <v>85</v>
      </c>
      <c r="B34" s="2"/>
      <c r="C34" s="2"/>
      <c r="D34" s="2"/>
      <c r="E34" s="2"/>
    </row>
    <row r="35" customFormat="false" ht="15" hidden="false" customHeight="true" outlineLevel="0" collapsed="false">
      <c r="A35" s="26" t="s">
        <v>86</v>
      </c>
      <c r="B35" s="27" t="n">
        <f aca="false">B29</f>
        <v>42500</v>
      </c>
      <c r="C35" s="27" t="n">
        <f aca="false">C29</f>
        <v>61500</v>
      </c>
      <c r="D35" s="27" t="n">
        <f aca="false">D29</f>
        <v>83000</v>
      </c>
      <c r="E35" s="27" t="n">
        <f aca="false">SUM(B35:D35)</f>
        <v>187000</v>
      </c>
    </row>
    <row r="36" customFormat="false" ht="15" hidden="false" customHeight="true" outlineLevel="0" collapsed="false">
      <c r="A36" s="26" t="s">
        <v>87</v>
      </c>
      <c r="B36" s="27" t="n">
        <f aca="false">B20</f>
        <v>16200</v>
      </c>
      <c r="C36" s="27" t="n">
        <f aca="false">C20</f>
        <v>70500</v>
      </c>
      <c r="D36" s="27" t="n">
        <f aca="false">D20</f>
        <v>158400</v>
      </c>
      <c r="E36" s="27" t="n">
        <f aca="false">SUM(B36:D36)</f>
        <v>245100</v>
      </c>
    </row>
    <row r="37" customFormat="false" ht="15" hidden="false" customHeight="true" outlineLevel="0" collapsed="false">
      <c r="A37" s="26" t="s">
        <v>88</v>
      </c>
      <c r="B37" s="28" t="n">
        <f aca="false">B36-B35</f>
        <v>-26300</v>
      </c>
      <c r="C37" s="28" t="n">
        <f aca="false">C36-C35</f>
        <v>9000</v>
      </c>
      <c r="D37" s="28" t="n">
        <f aca="false">D36-D35</f>
        <v>75400</v>
      </c>
      <c r="E37" s="28" t="n">
        <f aca="false">SUM(B37:D37)</f>
        <v>58100</v>
      </c>
    </row>
    <row r="39" customFormat="false" ht="15" hidden="false" customHeight="true" outlineLevel="0" collapsed="false">
      <c r="A39" s="26" t="s">
        <v>89</v>
      </c>
      <c r="B39" s="27" t="n">
        <f aca="false">B35</f>
        <v>42500</v>
      </c>
      <c r="C39" s="27" t="n">
        <f aca="false">B39+C35</f>
        <v>104000</v>
      </c>
      <c r="D39" s="27" t="n">
        <f aca="false">C39+D35</f>
        <v>187000</v>
      </c>
      <c r="E39" s="27" t="n">
        <f aca="false">D39</f>
        <v>187000</v>
      </c>
    </row>
    <row r="40" customFormat="false" ht="15" hidden="false" customHeight="true" outlineLevel="0" collapsed="false">
      <c r="A40" s="26" t="s">
        <v>90</v>
      </c>
      <c r="B40" s="27" t="n">
        <f aca="false">B36</f>
        <v>16200</v>
      </c>
      <c r="C40" s="27" t="n">
        <f aca="false">B40+C36</f>
        <v>86700</v>
      </c>
      <c r="D40" s="27" t="n">
        <f aca="false">C40+D36</f>
        <v>245100</v>
      </c>
      <c r="E40" s="27" t="n">
        <f aca="false">D40</f>
        <v>245100</v>
      </c>
    </row>
    <row r="41" customFormat="false" ht="15" hidden="false" customHeight="true" outlineLevel="0" collapsed="false">
      <c r="A41" s="26" t="s">
        <v>91</v>
      </c>
      <c r="B41" s="28" t="n">
        <f aca="false">B40-B39</f>
        <v>-26300</v>
      </c>
      <c r="C41" s="28" t="n">
        <f aca="false">C40-C39</f>
        <v>-17300</v>
      </c>
      <c r="D41" s="28" t="n">
        <f aca="false">D40-D39</f>
        <v>58100</v>
      </c>
      <c r="E41" s="28" t="n">
        <f aca="false">SUM(B41:D41)</f>
        <v>14500</v>
      </c>
    </row>
    <row r="42" customFormat="false" ht="15" hidden="false" customHeight="true" outlineLevel="0" collapsed="false">
      <c r="A42" s="29" t="s">
        <v>92</v>
      </c>
      <c r="B42" s="30" t="n">
        <f aca="false">IF(B39=0,0,B40/B39)</f>
        <v>0.381176470588235</v>
      </c>
      <c r="C42" s="30" t="n">
        <f aca="false">IF(C39=0,0,C40/C39)</f>
        <v>0.833653846153846</v>
      </c>
      <c r="D42" s="30" t="n">
        <f aca="false">IF(D39=0,0,D40/D39)</f>
        <v>1.31069518716578</v>
      </c>
      <c r="E42" s="30" t="n">
        <f aca="false">IF(E39=0,0,E40/E39)</f>
        <v>1.31069518716578</v>
      </c>
    </row>
    <row r="44" customFormat="false" ht="15" hidden="false" customHeight="true" outlineLevel="0" collapsed="false">
      <c r="A44" s="31" t="s">
        <v>93</v>
      </c>
      <c r="B44" s="32" t="n">
        <f aca="false">B32</f>
        <v>14000</v>
      </c>
      <c r="C44" s="32" t="n">
        <f aca="false">C32</f>
        <v>21000</v>
      </c>
      <c r="D44" s="32" t="n">
        <f aca="false">D32</f>
        <v>28000</v>
      </c>
      <c r="E44" s="32" t="n">
        <f aca="false">SUM(B44:D44)</f>
        <v>63000</v>
      </c>
    </row>
    <row r="45" customFormat="false" ht="15" hidden="false" customHeight="true" outlineLevel="0" collapsed="false">
      <c r="A45" s="33" t="s">
        <v>94</v>
      </c>
      <c r="B45" s="34" t="n">
        <f aca="false">B36+B44</f>
        <v>30200</v>
      </c>
      <c r="C45" s="34" t="n">
        <f aca="false">C36+C44</f>
        <v>91500</v>
      </c>
      <c r="D45" s="34" t="n">
        <f aca="false">D36+D44</f>
        <v>186400</v>
      </c>
      <c r="E45" s="34" t="n">
        <f aca="false">SUM(B45:D45)</f>
        <v>308100</v>
      </c>
    </row>
    <row r="47" customFormat="false" ht="15" hidden="false" customHeight="true" outlineLevel="0" collapsed="false">
      <c r="A47" s="33" t="s">
        <v>95</v>
      </c>
    </row>
    <row r="48" customFormat="false" ht="15" hidden="false" customHeight="true" outlineLevel="0" collapsed="false">
      <c r="A48" s="35" t="s">
        <v>96</v>
      </c>
    </row>
    <row r="49" customFormat="false" ht="15" hidden="false" customHeight="true" outlineLevel="0" collapsed="false">
      <c r="A49" s="35" t="s">
        <v>97</v>
      </c>
    </row>
    <row r="50" customFormat="false" ht="15" hidden="false" customHeight="true" outlineLevel="0" collapsed="false">
      <c r="A50" s="35" t="s">
        <v>98</v>
      </c>
    </row>
    <row r="51" customFormat="false" ht="15" hidden="false" customHeight="true" outlineLevel="0" collapsed="false">
      <c r="A51" s="36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2026-04-10T03:16:08Z</dcterms:created>
  <dc:creator>openpyxl</dc:creator>
  <dc:description/>
  <dc:language>en-US</dc:language>
  <cp:lastModifiedBy/>
  <dcterms:modified xsi:type="dcterms:W3CDTF">2026-04-10T03:28:20Z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